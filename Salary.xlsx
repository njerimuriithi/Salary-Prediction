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olyne\Projects\"/>
    </mc:Choice>
  </mc:AlternateContent>
  <xr:revisionPtr revIDLastSave="0" documentId="13_ncr:9_{4EE7999B-7EFD-49B6-AF60-466E741F12CA}" xr6:coauthVersionLast="47" xr6:coauthVersionMax="47" xr10:uidLastSave="{00000000-0000-0000-0000-000000000000}"/>
  <bookViews>
    <workbookView xWindow="28680" yWindow="-120" windowWidth="29040" windowHeight="15720" xr2:uid="{B64BAAC4-C2DD-41CD-AD30-54ED81A9D596}"/>
  </bookViews>
  <sheets>
    <sheet name="Summary " sheetId="2" r:id="rId1"/>
    <sheet name="Salary" sheetId="1" r:id="rId2"/>
  </sheets>
  <calcPr calcId="0"/>
</workbook>
</file>

<file path=xl/calcChain.xml><?xml version="1.0" encoding="utf-8"?>
<calcChain xmlns="http://schemas.openxmlformats.org/spreadsheetml/2006/main">
  <c r="M4" i="2" l="1"/>
  <c r="E4" i="1" l="1"/>
  <c r="E3" i="1"/>
</calcChain>
</file>

<file path=xl/sharedStrings.xml><?xml version="1.0" encoding="utf-8"?>
<sst xmlns="http://schemas.openxmlformats.org/spreadsheetml/2006/main" count="35" uniqueCount="32">
  <si>
    <t>YearsExperience</t>
  </si>
  <si>
    <t>Salary</t>
  </si>
  <si>
    <t>Intercept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</si>
  <si>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</si>
  <si>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</si>
  <si>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</si>
  <si>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</si>
  <si>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</si>
  <si>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</si>
  <si>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</si>
  <si>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</si>
  <si>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</si>
  <si>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</si>
  <si>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</si>
  <si>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</si>
  <si>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</si>
  <si>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</si>
  <si>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</si>
  <si>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</si>
  <si>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</si>
  <si>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</si>
  <si>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</si>
  <si>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</si>
  <si>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</si>
  <si>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</si>
  <si>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</si>
  <si>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Prediction</t>
  </si>
  <si>
    <t>Years</t>
  </si>
  <si>
    <t xml:space="preserve"> </t>
  </si>
  <si>
    <t>Intercept(b₀)</t>
  </si>
  <si>
    <t>Slope( b₁)</t>
  </si>
  <si>
    <t>Linear Regression Formular -&gt; Y = b₀ + b₁x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</si>
</sst>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rgb="FFFF0000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1" fontId="0" fillId="0" borderId="0" xfId="0" applyNumberFormat="1" applyFill="1" applyBorder="1" applyAlignme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alpha val="91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>
                    <a:alpha val="91000"/>
                  </a:schemeClr>
                </a:solidFill>
              </a:rPr>
              <a:t>Years</a:t>
            </a:r>
            <a:r>
              <a:rPr lang="en-US" b="1" u="sng" baseline="0">
                <a:solidFill>
                  <a:schemeClr val="tx1">
                    <a:alpha val="91000"/>
                  </a:schemeClr>
                </a:solidFill>
              </a:rPr>
              <a:t> Of Experience Vs Salary</a:t>
            </a:r>
            <a:endParaRPr lang="en-US" b="1" u="sng">
              <a:solidFill>
                <a:schemeClr val="tx1">
                  <a:alpha val="91000"/>
                </a:schemeClr>
              </a:solidFill>
            </a:endParaRPr>
          </a:p>
        </c:rich>
      </c:tx>
      <c:layout>
        <c:manualLayout>
          <c:xMode val="edge"/>
          <c:yMode val="edge"/>
          <c:x val="0.40168576989561378"/>
          <c:y val="2.072538860103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alpha val="91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>
                    <a:alpha val="95000"/>
                  </a:srgb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6261421846599576"/>
                  <c:y val="-0.127384439639345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alpha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E"/>
                </a:p>
              </c:txPr>
            </c:trendlineLbl>
          </c:trendline>
          <c:xVal>
            <c:numRef>
              <c:f>Salary!$A$2:$A$36</c:f>
              <c:numCache>
                <c:formatCode>General</c:formatCode>
                <c:ptCount val="35"/>
                <c:pt idx="0">
                  <c:v>1.1000000000000001</c:v>
                </c:pt>
                <c:pt idx="1">
                  <c:v>1.3</c:v>
                </c:pt>
                <c:pt idx="2">
                  <c:v>1.5</c:v>
                </c:pt>
                <c:pt idx="3">
                  <c:v>2</c:v>
                </c:pt>
                <c:pt idx="4">
                  <c:v>2.2000000000000002</c:v>
                </c:pt>
                <c:pt idx="5">
                  <c:v>2.9</c:v>
                </c:pt>
                <c:pt idx="6">
                  <c:v>3</c:v>
                </c:pt>
                <c:pt idx="7">
                  <c:v>3.2</c:v>
                </c:pt>
                <c:pt idx="8">
                  <c:v>3.2</c:v>
                </c:pt>
                <c:pt idx="9">
                  <c:v>3.7</c:v>
                </c:pt>
                <c:pt idx="10">
                  <c:v>3.9</c:v>
                </c:pt>
                <c:pt idx="11">
                  <c:v>4</c:v>
                </c:pt>
                <c:pt idx="12">
                  <c:v>4</c:v>
                </c:pt>
                <c:pt idx="13">
                  <c:v>4.0999999999999996</c:v>
                </c:pt>
                <c:pt idx="14">
                  <c:v>4.5</c:v>
                </c:pt>
                <c:pt idx="15">
                  <c:v>4.9000000000000004</c:v>
                </c:pt>
                <c:pt idx="16">
                  <c:v>5.0999999999999996</c:v>
                </c:pt>
                <c:pt idx="17">
                  <c:v>5.3</c:v>
                </c:pt>
                <c:pt idx="18">
                  <c:v>5.9</c:v>
                </c:pt>
                <c:pt idx="19">
                  <c:v>6</c:v>
                </c:pt>
                <c:pt idx="20">
                  <c:v>6.8</c:v>
                </c:pt>
                <c:pt idx="21">
                  <c:v>7.1</c:v>
                </c:pt>
                <c:pt idx="22">
                  <c:v>7.9</c:v>
                </c:pt>
                <c:pt idx="23">
                  <c:v>8.1999999999999993</c:v>
                </c:pt>
                <c:pt idx="24">
                  <c:v>8.6999999999999993</c:v>
                </c:pt>
                <c:pt idx="25">
                  <c:v>9</c:v>
                </c:pt>
                <c:pt idx="26">
                  <c:v>9.5</c:v>
                </c:pt>
                <c:pt idx="27">
                  <c:v>9.6</c:v>
                </c:pt>
                <c:pt idx="28">
                  <c:v>10.3</c:v>
                </c:pt>
                <c:pt idx="29">
                  <c:v>10.5</c:v>
                </c:pt>
                <c:pt idx="30">
                  <c:v>11.2</c:v>
                </c:pt>
                <c:pt idx="31">
                  <c:v>11.5</c:v>
                </c:pt>
                <c:pt idx="32">
                  <c:v>12.3</c:v>
                </c:pt>
                <c:pt idx="33">
                  <c:v>12.9</c:v>
                </c:pt>
                <c:pt idx="34">
                  <c:v>13.5</c:v>
                </c:pt>
              </c:numCache>
            </c:numRef>
          </c:xVal>
          <c:yVal>
            <c:numRef>
              <c:f>Salary!$B$2:$B$36</c:f>
              <c:numCache>
                <c:formatCode>General</c:formatCode>
                <c:ptCount val="35"/>
                <c:pt idx="0">
                  <c:v>39343</c:v>
                </c:pt>
                <c:pt idx="1">
                  <c:v>46205</c:v>
                </c:pt>
                <c:pt idx="2">
                  <c:v>37731</c:v>
                </c:pt>
                <c:pt idx="3">
                  <c:v>43525</c:v>
                </c:pt>
                <c:pt idx="4">
                  <c:v>39891</c:v>
                </c:pt>
                <c:pt idx="5">
                  <c:v>56642</c:v>
                </c:pt>
                <c:pt idx="6">
                  <c:v>60150</c:v>
                </c:pt>
                <c:pt idx="7">
                  <c:v>54445</c:v>
                </c:pt>
                <c:pt idx="8">
                  <c:v>64445</c:v>
                </c:pt>
                <c:pt idx="9">
                  <c:v>57189</c:v>
                </c:pt>
                <c:pt idx="10">
                  <c:v>63218</c:v>
                </c:pt>
                <c:pt idx="11">
                  <c:v>55794</c:v>
                </c:pt>
                <c:pt idx="12">
                  <c:v>56957</c:v>
                </c:pt>
                <c:pt idx="13">
                  <c:v>57081</c:v>
                </c:pt>
                <c:pt idx="14">
                  <c:v>61111</c:v>
                </c:pt>
                <c:pt idx="15">
                  <c:v>67938</c:v>
                </c:pt>
                <c:pt idx="16">
                  <c:v>66029</c:v>
                </c:pt>
                <c:pt idx="17">
                  <c:v>83088</c:v>
                </c:pt>
                <c:pt idx="18">
                  <c:v>81363</c:v>
                </c:pt>
                <c:pt idx="19">
                  <c:v>93940</c:v>
                </c:pt>
                <c:pt idx="20">
                  <c:v>91738</c:v>
                </c:pt>
                <c:pt idx="21">
                  <c:v>98273</c:v>
                </c:pt>
                <c:pt idx="22">
                  <c:v>101302</c:v>
                </c:pt>
                <c:pt idx="23">
                  <c:v>113812</c:v>
                </c:pt>
                <c:pt idx="24">
                  <c:v>109431</c:v>
                </c:pt>
                <c:pt idx="25">
                  <c:v>105582</c:v>
                </c:pt>
                <c:pt idx="26">
                  <c:v>116969</c:v>
                </c:pt>
                <c:pt idx="27">
                  <c:v>112635</c:v>
                </c:pt>
                <c:pt idx="28">
                  <c:v>122391</c:v>
                </c:pt>
                <c:pt idx="29">
                  <c:v>121872</c:v>
                </c:pt>
                <c:pt idx="30">
                  <c:v>127345</c:v>
                </c:pt>
                <c:pt idx="31">
                  <c:v>126756</c:v>
                </c:pt>
                <c:pt idx="32">
                  <c:v>128765</c:v>
                </c:pt>
                <c:pt idx="33">
                  <c:v>135675</c:v>
                </c:pt>
                <c:pt idx="34">
                  <c:v>139465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EC-448E-A02B-F4B310874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68255"/>
        <c:axId val="1117469215"/>
      </c:scatterChart>
      <c:valAx>
        <c:axId val="111746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alpha val="98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>
                        <a:alpha val="98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</a:rPr>
                  <a:t>Years</a:t>
                </a:r>
                <a:r>
                  <a:rPr lang="en-US" sz="1400" b="1" baseline="0">
                    <a:solidFill>
                      <a:schemeClr val="tx1">
                        <a:alpha val="98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</a:rPr>
                  <a:t> Of Experience</a:t>
                </a:r>
                <a:endParaRPr lang="en-US" sz="1400" b="1">
                  <a:solidFill>
                    <a:schemeClr val="tx1">
                      <a:alpha val="98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endParaRPr>
              </a:p>
            </c:rich>
          </c:tx>
          <c:layout>
            <c:manualLayout>
              <c:xMode val="edge"/>
              <c:yMode val="edge"/>
              <c:x val="0.45890859681200918"/>
              <c:y val="0.90707437477051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alpha val="98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alpha val="9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17469215"/>
        <c:crosses val="autoZero"/>
        <c:crossBetween val="midCat"/>
      </c:valAx>
      <c:valAx>
        <c:axId val="111746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17468255"/>
        <c:crosses val="autoZero"/>
        <c:crossBetween val="midCat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alpha val="91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>
                    <a:alpha val="91000"/>
                  </a:schemeClr>
                </a:solidFill>
              </a:rPr>
              <a:t>Years</a:t>
            </a:r>
            <a:r>
              <a:rPr lang="en-US" b="1" u="sng" baseline="0">
                <a:solidFill>
                  <a:schemeClr val="tx1">
                    <a:alpha val="91000"/>
                  </a:schemeClr>
                </a:solidFill>
              </a:rPr>
              <a:t> Of Experience Vs Salary</a:t>
            </a:r>
            <a:endParaRPr lang="en-US" b="1" u="sng">
              <a:solidFill>
                <a:schemeClr val="tx1">
                  <a:alpha val="91000"/>
                </a:schemeClr>
              </a:solidFill>
            </a:endParaRPr>
          </a:p>
        </c:rich>
      </c:tx>
      <c:layout>
        <c:manualLayout>
          <c:xMode val="edge"/>
          <c:yMode val="edge"/>
          <c:x val="0.40168576989561378"/>
          <c:y val="2.072538860103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alpha val="91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>
                    <a:alpha val="95000"/>
                  </a:srgb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6261421846599576"/>
                  <c:y val="-0.127384439639345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alpha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E"/>
                </a:p>
              </c:txPr>
            </c:trendlineLbl>
          </c:trendline>
          <c:xVal>
            <c:numRef>
              <c:f>Salary!$A$2:$A$36</c:f>
              <c:numCache>
                <c:formatCode>General</c:formatCode>
                <c:ptCount val="35"/>
                <c:pt idx="0">
                  <c:v>1.1000000000000001</c:v>
                </c:pt>
                <c:pt idx="1">
                  <c:v>1.3</c:v>
                </c:pt>
                <c:pt idx="2">
                  <c:v>1.5</c:v>
                </c:pt>
                <c:pt idx="3">
                  <c:v>2</c:v>
                </c:pt>
                <c:pt idx="4">
                  <c:v>2.2000000000000002</c:v>
                </c:pt>
                <c:pt idx="5">
                  <c:v>2.9</c:v>
                </c:pt>
                <c:pt idx="6">
                  <c:v>3</c:v>
                </c:pt>
                <c:pt idx="7">
                  <c:v>3.2</c:v>
                </c:pt>
                <c:pt idx="8">
                  <c:v>3.2</c:v>
                </c:pt>
                <c:pt idx="9">
                  <c:v>3.7</c:v>
                </c:pt>
                <c:pt idx="10">
                  <c:v>3.9</c:v>
                </c:pt>
                <c:pt idx="11">
                  <c:v>4</c:v>
                </c:pt>
                <c:pt idx="12">
                  <c:v>4</c:v>
                </c:pt>
                <c:pt idx="13">
                  <c:v>4.0999999999999996</c:v>
                </c:pt>
                <c:pt idx="14">
                  <c:v>4.5</c:v>
                </c:pt>
                <c:pt idx="15">
                  <c:v>4.9000000000000004</c:v>
                </c:pt>
                <c:pt idx="16">
                  <c:v>5.0999999999999996</c:v>
                </c:pt>
                <c:pt idx="17">
                  <c:v>5.3</c:v>
                </c:pt>
                <c:pt idx="18">
                  <c:v>5.9</c:v>
                </c:pt>
                <c:pt idx="19">
                  <c:v>6</c:v>
                </c:pt>
                <c:pt idx="20">
                  <c:v>6.8</c:v>
                </c:pt>
                <c:pt idx="21">
                  <c:v>7.1</c:v>
                </c:pt>
                <c:pt idx="22">
                  <c:v>7.9</c:v>
                </c:pt>
                <c:pt idx="23">
                  <c:v>8.1999999999999993</c:v>
                </c:pt>
                <c:pt idx="24">
                  <c:v>8.6999999999999993</c:v>
                </c:pt>
                <c:pt idx="25">
                  <c:v>9</c:v>
                </c:pt>
                <c:pt idx="26">
                  <c:v>9.5</c:v>
                </c:pt>
                <c:pt idx="27">
                  <c:v>9.6</c:v>
                </c:pt>
                <c:pt idx="28">
                  <c:v>10.3</c:v>
                </c:pt>
                <c:pt idx="29">
                  <c:v>10.5</c:v>
                </c:pt>
                <c:pt idx="30">
                  <c:v>11.2</c:v>
                </c:pt>
                <c:pt idx="31">
                  <c:v>11.5</c:v>
                </c:pt>
                <c:pt idx="32">
                  <c:v>12.3</c:v>
                </c:pt>
                <c:pt idx="33">
                  <c:v>12.9</c:v>
                </c:pt>
                <c:pt idx="34">
                  <c:v>13.5</c:v>
                </c:pt>
              </c:numCache>
            </c:numRef>
          </c:xVal>
          <c:yVal>
            <c:numRef>
              <c:f>Salary!$B$2:$B$36</c:f>
              <c:numCache>
                <c:formatCode>General</c:formatCode>
                <c:ptCount val="35"/>
                <c:pt idx="0">
                  <c:v>39343</c:v>
                </c:pt>
                <c:pt idx="1">
                  <c:v>46205</c:v>
                </c:pt>
                <c:pt idx="2">
                  <c:v>37731</c:v>
                </c:pt>
                <c:pt idx="3">
                  <c:v>43525</c:v>
                </c:pt>
                <c:pt idx="4">
                  <c:v>39891</c:v>
                </c:pt>
                <c:pt idx="5">
                  <c:v>56642</c:v>
                </c:pt>
                <c:pt idx="6">
                  <c:v>60150</c:v>
                </c:pt>
                <c:pt idx="7">
                  <c:v>54445</c:v>
                </c:pt>
                <c:pt idx="8">
                  <c:v>64445</c:v>
                </c:pt>
                <c:pt idx="9">
                  <c:v>57189</c:v>
                </c:pt>
                <c:pt idx="10">
                  <c:v>63218</c:v>
                </c:pt>
                <c:pt idx="11">
                  <c:v>55794</c:v>
                </c:pt>
                <c:pt idx="12">
                  <c:v>56957</c:v>
                </c:pt>
                <c:pt idx="13">
                  <c:v>57081</c:v>
                </c:pt>
                <c:pt idx="14">
                  <c:v>61111</c:v>
                </c:pt>
                <c:pt idx="15">
                  <c:v>67938</c:v>
                </c:pt>
                <c:pt idx="16">
                  <c:v>66029</c:v>
                </c:pt>
                <c:pt idx="17">
                  <c:v>83088</c:v>
                </c:pt>
                <c:pt idx="18">
                  <c:v>81363</c:v>
                </c:pt>
                <c:pt idx="19">
                  <c:v>93940</c:v>
                </c:pt>
                <c:pt idx="20">
                  <c:v>91738</c:v>
                </c:pt>
                <c:pt idx="21">
                  <c:v>98273</c:v>
                </c:pt>
                <c:pt idx="22">
                  <c:v>101302</c:v>
                </c:pt>
                <c:pt idx="23">
                  <c:v>113812</c:v>
                </c:pt>
                <c:pt idx="24">
                  <c:v>109431</c:v>
                </c:pt>
                <c:pt idx="25">
                  <c:v>105582</c:v>
                </c:pt>
                <c:pt idx="26">
                  <c:v>116969</c:v>
                </c:pt>
                <c:pt idx="27">
                  <c:v>112635</c:v>
                </c:pt>
                <c:pt idx="28">
                  <c:v>122391</c:v>
                </c:pt>
                <c:pt idx="29">
                  <c:v>121872</c:v>
                </c:pt>
                <c:pt idx="30">
                  <c:v>127345</c:v>
                </c:pt>
                <c:pt idx="31">
                  <c:v>126756</c:v>
                </c:pt>
                <c:pt idx="32">
                  <c:v>128765</c:v>
                </c:pt>
                <c:pt idx="33">
                  <c:v>135675</c:v>
                </c:pt>
                <c:pt idx="34">
                  <c:v>139465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D-4A57-8A4D-B0FF3C842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68255"/>
        <c:axId val="1117469215"/>
      </c:scatterChart>
      <c:valAx>
        <c:axId val="111746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alpha val="98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>
                        <a:alpha val="98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</a:rPr>
                  <a:t>Years</a:t>
                </a:r>
                <a:r>
                  <a:rPr lang="en-US" sz="1400" b="1" baseline="0">
                    <a:solidFill>
                      <a:schemeClr val="tx1">
                        <a:alpha val="98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</a:rPr>
                  <a:t> Of Experience</a:t>
                </a:r>
                <a:endParaRPr lang="en-US" sz="1400" b="1">
                  <a:solidFill>
                    <a:schemeClr val="tx1">
                      <a:alpha val="98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endParaRPr>
              </a:p>
            </c:rich>
          </c:tx>
          <c:layout>
            <c:manualLayout>
              <c:xMode val="edge"/>
              <c:yMode val="edge"/>
              <c:x val="0.45890859681200918"/>
              <c:y val="0.90707437477051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alpha val="98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alpha val="9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17469215"/>
        <c:crosses val="autoZero"/>
        <c:crossBetween val="midCat"/>
      </c:valAx>
      <c:valAx>
        <c:axId val="111746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17468255"/>
        <c:crosses val="autoZero"/>
        <c:crossBetween val="midCat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5</xdr:row>
      <xdr:rowOff>171450</xdr:rowOff>
    </xdr:from>
    <xdr:to>
      <xdr:col>21</xdr:col>
      <xdr:colOff>400051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70917-0EA8-4094-A4CC-6FA17B0A7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6</xdr:row>
      <xdr:rowOff>9525</xdr:rowOff>
    </xdr:from>
    <xdr:to>
      <xdr:col>15</xdr:col>
      <xdr:colOff>276226</xdr:colOff>
      <xdr:row>25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6BD327-0182-4006-B1EF-25A2151F2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DF5E-8140-49FC-8D13-D4D27E700323}">
  <dimension ref="A1:N18"/>
  <sheetViews>
    <sheetView tabSelected="1" workbookViewId="0">
      <selection activeCell="H27" sqref="H27"/>
    </sheetView>
  </sheetViews>
  <sheetFormatPr defaultRowHeight="15" x14ac:dyDescent="0.25"/>
  <cols>
    <col min="1" max="1" width="14.42578125" customWidth="1"/>
    <col min="2" max="2" width="17.85546875" customWidth="1"/>
    <col min="3" max="3" width="14.5703125" bestFit="1" customWidth="1"/>
    <col min="4" max="5" width="12" bestFit="1" customWidth="1"/>
    <col min="6" max="6" width="13.42578125" bestFit="1" customWidth="1"/>
    <col min="7" max="7" width="12" bestFit="1" customWidth="1"/>
    <col min="8" max="8" width="12.42578125" bestFit="1" customWidth="1"/>
    <col min="9" max="9" width="12.5703125" bestFit="1" customWidth="1"/>
    <col min="12" max="12" width="16" customWidth="1"/>
    <col min="13" max="13" width="15.28515625" customWidth="1"/>
  </cols>
  <sheetData>
    <row r="1" spans="1:14" x14ac:dyDescent="0.25">
      <c r="A1" t="s">
        <v>3</v>
      </c>
    </row>
    <row r="2" spans="1:14" ht="20.25" thickBot="1" x14ac:dyDescent="0.3">
      <c r="L2" s="10" t="s">
        <v>26</v>
      </c>
      <c r="M2" s="10"/>
      <c r="N2" s="10"/>
    </row>
    <row r="3" spans="1:14" ht="18.75" x14ac:dyDescent="0.3">
      <c r="A3" s="4" t="s">
        <v>4</v>
      </c>
      <c r="B3" s="4"/>
      <c r="L3" s="11" t="s">
        <v>27</v>
      </c>
      <c r="M3" s="12" t="s">
        <v>1</v>
      </c>
    </row>
    <row r="4" spans="1:14" ht="18.75" x14ac:dyDescent="0.3">
      <c r="A4" s="1" t="s">
        <v>5</v>
      </c>
      <c r="B4" s="1">
        <v>0.98242725464796843</v>
      </c>
      <c r="L4" s="13">
        <v>5</v>
      </c>
      <c r="M4" s="13">
        <f xml:space="preserve"> 8731.9*L4 + 28860</f>
        <v>72519.5</v>
      </c>
    </row>
    <row r="5" spans="1:14" x14ac:dyDescent="0.25">
      <c r="A5" s="1" t="s">
        <v>6</v>
      </c>
      <c r="B5" s="1">
        <v>0.96516331067514427</v>
      </c>
    </row>
    <row r="6" spans="1:14" x14ac:dyDescent="0.25">
      <c r="A6" s="1" t="s">
        <v>7</v>
      </c>
      <c r="B6" s="1">
        <v>0.96410765342287597</v>
      </c>
      <c r="H6" t="s">
        <v>28</v>
      </c>
    </row>
    <row r="7" spans="1:14" x14ac:dyDescent="0.25">
      <c r="A7" s="1" t="s">
        <v>8</v>
      </c>
      <c r="B7" s="1">
        <v>6093.3070256201263</v>
      </c>
    </row>
    <row r="8" spans="1:14" ht="15.75" thickBot="1" x14ac:dyDescent="0.3">
      <c r="A8" s="2" t="s">
        <v>9</v>
      </c>
      <c r="B8" s="2">
        <v>35</v>
      </c>
    </row>
    <row r="10" spans="1:14" ht="15.75" thickBot="1" x14ac:dyDescent="0.3">
      <c r="A10" t="s">
        <v>10</v>
      </c>
    </row>
    <row r="11" spans="1:14" x14ac:dyDescent="0.25">
      <c r="A11" s="3"/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</row>
    <row r="12" spans="1:14" x14ac:dyDescent="0.25">
      <c r="A12" s="1" t="s">
        <v>11</v>
      </c>
      <c r="B12" s="1">
        <v>1</v>
      </c>
      <c r="C12" s="1">
        <v>33945639293.620445</v>
      </c>
      <c r="D12" s="1">
        <v>33945639293.620445</v>
      </c>
      <c r="E12" s="1">
        <v>914.27715634145432</v>
      </c>
      <c r="F12" s="5">
        <v>1.23099058899263E-25</v>
      </c>
    </row>
    <row r="13" spans="1:14" x14ac:dyDescent="0.25">
      <c r="A13" s="1" t="s">
        <v>12</v>
      </c>
      <c r="B13" s="1">
        <v>33</v>
      </c>
      <c r="C13" s="1">
        <v>1225236886.7795622</v>
      </c>
      <c r="D13" s="1">
        <v>37128390.508471586</v>
      </c>
      <c r="E13" s="1"/>
      <c r="F13" s="1"/>
    </row>
    <row r="14" spans="1:14" ht="15.75" thickBot="1" x14ac:dyDescent="0.3">
      <c r="A14" s="2" t="s">
        <v>13</v>
      </c>
      <c r="B14" s="2">
        <v>34</v>
      </c>
      <c r="C14" s="2">
        <v>35170876180.400009</v>
      </c>
      <c r="D14" s="2"/>
      <c r="E14" s="2"/>
      <c r="F14" s="2"/>
    </row>
    <row r="15" spans="1:14" ht="15.75" thickBot="1" x14ac:dyDescent="0.3"/>
    <row r="16" spans="1:14" x14ac:dyDescent="0.25">
      <c r="A16" s="3"/>
      <c r="B16" s="3" t="s">
        <v>19</v>
      </c>
      <c r="C16" s="3" t="s">
        <v>8</v>
      </c>
      <c r="D16" s="3" t="s">
        <v>20</v>
      </c>
      <c r="E16" s="3" t="s">
        <v>21</v>
      </c>
      <c r="F16" s="3" t="s">
        <v>22</v>
      </c>
      <c r="G16" s="3" t="s">
        <v>23</v>
      </c>
      <c r="H16" s="3" t="s">
        <v>24</v>
      </c>
      <c r="I16" s="3" t="s">
        <v>25</v>
      </c>
    </row>
    <row r="17" spans="1:9" x14ac:dyDescent="0.25">
      <c r="A17" s="1" t="s">
        <v>2</v>
      </c>
      <c r="B17" s="1">
        <v>28859.5261945315</v>
      </c>
      <c r="C17" s="1">
        <v>2092.7971310998546</v>
      </c>
      <c r="D17" s="1">
        <v>13.789930120634569</v>
      </c>
      <c r="E17" s="1">
        <v>2.9871240345538222E-15</v>
      </c>
      <c r="F17" s="1">
        <v>24601.698416850755</v>
      </c>
      <c r="G17" s="1">
        <v>33117.353972212244</v>
      </c>
      <c r="H17" s="1">
        <v>24601.698416850755</v>
      </c>
      <c r="I17" s="1">
        <v>33117.353972212244</v>
      </c>
    </row>
    <row r="18" spans="1:9" ht="15.75" thickBot="1" x14ac:dyDescent="0.3">
      <c r="A18" s="2" t="s">
        <v>0</v>
      </c>
      <c r="B18" s="2">
        <v>8731.9410470624898</v>
      </c>
      <c r="C18" s="2">
        <v>288.7831574622129</v>
      </c>
      <c r="D18" s="2">
        <v>30.237016326705476</v>
      </c>
      <c r="E18" s="2">
        <v>1.2309905889926483E-25</v>
      </c>
      <c r="F18" s="2">
        <v>8144.4072955598967</v>
      </c>
      <c r="G18" s="2">
        <v>9319.4747985650829</v>
      </c>
      <c r="H18" s="2">
        <v>8144.4072955598967</v>
      </c>
      <c r="I18" s="2">
        <v>9319.4747985650829</v>
      </c>
    </row>
  </sheetData>
  <mergeCells count="1">
    <mergeCell ref="L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DE94-E5BF-4ABA-8843-ABA1B6510306}">
  <dimension ref="A1:G36"/>
  <sheetViews>
    <sheetView workbookViewId="0">
      <selection activeCell="I30" sqref="I30"/>
    </sheetView>
  </sheetViews>
  <sheetFormatPr defaultRowHeight="15" x14ac:dyDescent="0.25"/>
  <cols>
    <col min="1" max="1" width="16.28515625" customWidth="1"/>
    <col min="2" max="2" width="14.42578125" customWidth="1"/>
    <col min="4" max="4" width="17.85546875" customWidth="1"/>
    <col min="5" max="5" width="17.5703125" customWidth="1"/>
  </cols>
  <sheetData>
    <row r="1" spans="1:7" x14ac:dyDescent="0.25">
      <c r="A1" t="s">
        <v>0</v>
      </c>
      <c r="B1" t="s">
        <v>1</v>
      </c>
    </row>
    <row r="2" spans="1:7" ht="15.75" x14ac:dyDescent="0.25">
      <c r="A2">
        <v>1.1000000000000001</v>
      </c>
      <c r="B2">
        <v>39343</v>
      </c>
      <c r="D2" s="9" t="s">
        <v>31</v>
      </c>
      <c r="E2" s="9"/>
      <c r="F2" s="9"/>
      <c r="G2" s="9"/>
    </row>
    <row r="3" spans="1:7" ht="15.75" x14ac:dyDescent="0.25">
      <c r="A3">
        <v>1.3</v>
      </c>
      <c r="B3">
        <v>46205</v>
      </c>
      <c r="D3" s="6" t="s">
        <v>30</v>
      </c>
      <c r="E3" s="8">
        <f>SLOPE(B2:B36,A2:A36)</f>
        <v>8731.9410470624935</v>
      </c>
    </row>
    <row r="4" spans="1:7" ht="18.75" x14ac:dyDescent="0.3">
      <c r="A4">
        <v>1.5</v>
      </c>
      <c r="B4">
        <v>37731</v>
      </c>
      <c r="D4" s="7" t="s">
        <v>29</v>
      </c>
      <c r="E4" s="8">
        <f>INTERCEPT(B2:B36,A2:A36)</f>
        <v>28859.526194531478</v>
      </c>
    </row>
    <row r="5" spans="1:7" x14ac:dyDescent="0.25">
      <c r="A5">
        <v>2</v>
      </c>
      <c r="B5">
        <v>43525</v>
      </c>
    </row>
    <row r="6" spans="1:7" x14ac:dyDescent="0.25">
      <c r="A6">
        <v>2.2000000000000002</v>
      </c>
      <c r="B6">
        <v>39891</v>
      </c>
    </row>
    <row r="7" spans="1:7" x14ac:dyDescent="0.25">
      <c r="A7">
        <v>2.9</v>
      </c>
      <c r="B7">
        <v>56642</v>
      </c>
    </row>
    <row r="8" spans="1:7" x14ac:dyDescent="0.25">
      <c r="A8">
        <v>3</v>
      </c>
      <c r="B8">
        <v>60150</v>
      </c>
    </row>
    <row r="9" spans="1:7" x14ac:dyDescent="0.25">
      <c r="A9">
        <v>3.2</v>
      </c>
      <c r="B9">
        <v>54445</v>
      </c>
    </row>
    <row r="10" spans="1:7" x14ac:dyDescent="0.25">
      <c r="A10">
        <v>3.2</v>
      </c>
      <c r="B10">
        <v>64445</v>
      </c>
    </row>
    <row r="11" spans="1:7" x14ac:dyDescent="0.25">
      <c r="A11">
        <v>3.7</v>
      </c>
      <c r="B11">
        <v>57189</v>
      </c>
    </row>
    <row r="12" spans="1:7" x14ac:dyDescent="0.25">
      <c r="A12">
        <v>3.9</v>
      </c>
      <c r="B12">
        <v>63218</v>
      </c>
    </row>
    <row r="13" spans="1:7" x14ac:dyDescent="0.25">
      <c r="A13">
        <v>4</v>
      </c>
      <c r="B13">
        <v>55794</v>
      </c>
    </row>
    <row r="14" spans="1:7" x14ac:dyDescent="0.25">
      <c r="A14">
        <v>4</v>
      </c>
      <c r="B14">
        <v>56957</v>
      </c>
    </row>
    <row r="15" spans="1:7" x14ac:dyDescent="0.25">
      <c r="A15">
        <v>4.0999999999999996</v>
      </c>
      <c r="B15">
        <v>57081</v>
      </c>
    </row>
    <row r="16" spans="1:7" x14ac:dyDescent="0.25">
      <c r="A16">
        <v>4.5</v>
      </c>
      <c r="B16">
        <v>61111</v>
      </c>
    </row>
    <row r="17" spans="1:2" x14ac:dyDescent="0.25">
      <c r="A17">
        <v>4.9000000000000004</v>
      </c>
      <c r="B17">
        <v>67938</v>
      </c>
    </row>
    <row r="18" spans="1:2" x14ac:dyDescent="0.25">
      <c r="A18">
        <v>5.0999999999999996</v>
      </c>
      <c r="B18">
        <v>66029</v>
      </c>
    </row>
    <row r="19" spans="1:2" x14ac:dyDescent="0.25">
      <c r="A19">
        <v>5.3</v>
      </c>
      <c r="B19">
        <v>83088</v>
      </c>
    </row>
    <row r="20" spans="1:2" x14ac:dyDescent="0.25">
      <c r="A20">
        <v>5.9</v>
      </c>
      <c r="B20">
        <v>81363</v>
      </c>
    </row>
    <row r="21" spans="1:2" x14ac:dyDescent="0.25">
      <c r="A21">
        <v>6</v>
      </c>
      <c r="B21">
        <v>93940</v>
      </c>
    </row>
    <row r="22" spans="1:2" x14ac:dyDescent="0.25">
      <c r="A22">
        <v>6.8</v>
      </c>
      <c r="B22">
        <v>91738</v>
      </c>
    </row>
    <row r="23" spans="1:2" x14ac:dyDescent="0.25">
      <c r="A23">
        <v>7.1</v>
      </c>
      <c r="B23">
        <v>98273</v>
      </c>
    </row>
    <row r="24" spans="1:2" x14ac:dyDescent="0.25">
      <c r="A24">
        <v>7.9</v>
      </c>
      <c r="B24">
        <v>101302</v>
      </c>
    </row>
    <row r="25" spans="1:2" x14ac:dyDescent="0.25">
      <c r="A25">
        <v>8.1999999999999993</v>
      </c>
      <c r="B25">
        <v>113812</v>
      </c>
    </row>
    <row r="26" spans="1:2" x14ac:dyDescent="0.25">
      <c r="A26">
        <v>8.6999999999999993</v>
      </c>
      <c r="B26">
        <v>109431</v>
      </c>
    </row>
    <row r="27" spans="1:2" x14ac:dyDescent="0.25">
      <c r="A27">
        <v>9</v>
      </c>
      <c r="B27">
        <v>105582</v>
      </c>
    </row>
    <row r="28" spans="1:2" x14ac:dyDescent="0.25">
      <c r="A28">
        <v>9.5</v>
      </c>
      <c r="B28">
        <v>116969</v>
      </c>
    </row>
    <row r="29" spans="1:2" x14ac:dyDescent="0.25">
      <c r="A29">
        <v>9.6</v>
      </c>
      <c r="B29">
        <v>112635</v>
      </c>
    </row>
    <row r="30" spans="1:2" x14ac:dyDescent="0.25">
      <c r="A30">
        <v>10.3</v>
      </c>
      <c r="B30">
        <v>122391</v>
      </c>
    </row>
    <row r="31" spans="1:2" x14ac:dyDescent="0.25">
      <c r="A31">
        <v>10.5</v>
      </c>
      <c r="B31">
        <v>121872</v>
      </c>
    </row>
    <row r="32" spans="1:2" x14ac:dyDescent="0.25">
      <c r="A32">
        <v>11.2</v>
      </c>
      <c r="B32">
        <v>127345</v>
      </c>
    </row>
    <row r="33" spans="1:2" x14ac:dyDescent="0.25">
      <c r="A33">
        <v>11.5</v>
      </c>
      <c r="B33">
        <v>126756</v>
      </c>
    </row>
    <row r="34" spans="1:2" x14ac:dyDescent="0.25">
      <c r="A34">
        <v>12.3</v>
      </c>
      <c r="B34">
        <v>128765</v>
      </c>
    </row>
    <row r="35" spans="1:2" x14ac:dyDescent="0.25">
      <c r="A35">
        <v>12.9</v>
      </c>
      <c r="B35">
        <v>135675</v>
      </c>
    </row>
    <row r="36" spans="1:2" x14ac:dyDescent="0.25">
      <c r="A36">
        <v>13.5</v>
      </c>
      <c r="B36">
        <v>139465</v>
      </c>
    </row>
  </sheetData>
  <mergeCells count="1">
    <mergeCell ref="D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Carolyne Njeri</cp:lastModifiedBy>
  <dcterms:created xsi:type="dcterms:W3CDTF">2026-01-12T08:20:47Z</dcterms:created>
  <dcterms:modified xsi:type="dcterms:W3CDTF">2026-01-12T13:21:37Z</dcterms:modified>
</cp:coreProperties>
</file>